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Viktor Rees\Documents\TcXaeShell\HeatpumpSPS\doc\"/>
    </mc:Choice>
  </mc:AlternateContent>
  <bookViews>
    <workbookView xWindow="0" yWindow="0" windowWidth="28770" windowHeight="11505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1" l="1"/>
  <c r="F7" i="1"/>
  <c r="E7" i="1"/>
  <c r="C7" i="1"/>
  <c r="F24" i="1" l="1"/>
  <c r="F23" i="1"/>
  <c r="F6" i="1"/>
  <c r="E6" i="1"/>
  <c r="C6" i="1"/>
  <c r="F5" i="1"/>
  <c r="E5" i="1"/>
  <c r="C5" i="1"/>
  <c r="F26" i="1" l="1"/>
  <c r="F22" i="1"/>
  <c r="F4" i="1"/>
  <c r="E4" i="1"/>
  <c r="C4" i="1"/>
</calcChain>
</file>

<file path=xl/sharedStrings.xml><?xml version="1.0" encoding="utf-8"?>
<sst xmlns="http://schemas.openxmlformats.org/spreadsheetml/2006/main" count="25" uniqueCount="21">
  <si>
    <t>Datum</t>
  </si>
  <si>
    <t>kWh</t>
  </si>
  <si>
    <t>Wärmezähler</t>
  </si>
  <si>
    <t>Stromzähler</t>
  </si>
  <si>
    <t>Diff Strom</t>
  </si>
  <si>
    <t>Diff Wärme</t>
  </si>
  <si>
    <t>COP</t>
  </si>
  <si>
    <t>Momentanwerte</t>
  </si>
  <si>
    <t>Strom</t>
  </si>
  <si>
    <t>kW</t>
  </si>
  <si>
    <t>Wärme</t>
  </si>
  <si>
    <t>°C</t>
  </si>
  <si>
    <t>Gut</t>
  </si>
  <si>
    <t>Rücklauf Temp.</t>
  </si>
  <si>
    <t>ca. 35</t>
  </si>
  <si>
    <t>Vorlauf Temp.</t>
  </si>
  <si>
    <t>Schlecht</t>
  </si>
  <si>
    <t>42-48° Warmwaser</t>
  </si>
  <si>
    <t>41-48° Vorlauf</t>
  </si>
  <si>
    <t>33-40° Vorlauf</t>
  </si>
  <si>
    <t>Zirkulation aus (27.11. - 11 Uhr)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</si>
</sst>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;@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1" fillId="2" borderId="2" xfId="0" applyNumberFormat="1" applyFont="1" applyFill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5" fontId="1" fillId="2" borderId="2" xfId="0" applyNumberFormat="1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0" borderId="2" xfId="0" applyNumberFormat="1" applyFont="1" applyBorder="1"/>
    <xf numFmtId="2" fontId="1" fillId="0" borderId="2" xfId="0" applyNumberFormat="1" applyFont="1" applyBorder="1"/>
    <xf numFmtId="1" fontId="1" fillId="0" borderId="2" xfId="0" applyNumberFormat="1" applyFont="1" applyBorder="1"/>
    <xf numFmtId="165" fontId="1" fillId="0" borderId="2" xfId="0" applyNumberFormat="1" applyFont="1" applyBorder="1"/>
    <xf numFmtId="0" fontId="1" fillId="0" borderId="0" xfId="0" applyFont="1"/>
    <xf numFmtId="164" fontId="2" fillId="3" borderId="2" xfId="0" applyNumberFormat="1" applyFont="1" applyFill="1" applyBorder="1"/>
    <xf numFmtId="2" fontId="1" fillId="3" borderId="2" xfId="0" applyNumberFormat="1" applyFont="1" applyFill="1" applyBorder="1"/>
    <xf numFmtId="165" fontId="1" fillId="3" borderId="2" xfId="0" applyNumberFormat="1" applyFont="1" applyFill="1" applyBorder="1"/>
    <xf numFmtId="0" fontId="1" fillId="3" borderId="0" xfId="0" applyFont="1" applyFill="1"/>
    <xf numFmtId="164" fontId="1" fillId="3" borderId="2" xfId="0" applyNumberFormat="1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1" fillId="3" borderId="3" xfId="0" applyNumberFormat="1" applyFont="1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/>
    </xf>
    <xf numFmtId="165" fontId="1" fillId="3" borderId="3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2" fontId="1" fillId="0" borderId="2" xfId="0" applyNumberFormat="1" applyFont="1" applyBorder="1" applyAlignment="1">
      <alignment horizontal="right"/>
    </xf>
    <xf numFmtId="0" fontId="1" fillId="0" borderId="2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abSelected="1" workbookViewId="0">
      <selection activeCell="G25" sqref="G25"/>
    </sheetView>
  </sheetViews>
  <sheetFormatPr baseColWidth="10" defaultColWidth="27.85546875" defaultRowHeight="17.25" x14ac:dyDescent="0.3"/>
  <cols>
    <col min="1" max="1" width="10.85546875" style="11" customWidth="1"/>
    <col min="2" max="2" width="17.140625" style="12" customWidth="1"/>
    <col min="3" max="3" width="14.7109375" style="12" customWidth="1"/>
    <col min="4" max="4" width="16.140625" style="29" customWidth="1"/>
    <col min="5" max="5" width="13.85546875" style="29" customWidth="1"/>
    <col min="6" max="6" width="10.140625" style="14" customWidth="1"/>
    <col min="7" max="7" width="18.5703125" style="15" customWidth="1"/>
    <col min="8" max="8" width="35" style="15" customWidth="1"/>
    <col min="9" max="16384" width="27.85546875" style="15"/>
  </cols>
  <sheetData>
    <row r="1" spans="1:8" s="5" customFormat="1" x14ac:dyDescent="0.3">
      <c r="A1" s="1" t="s">
        <v>0</v>
      </c>
      <c r="B1" s="2" t="s">
        <v>3</v>
      </c>
      <c r="C1" s="2" t="s">
        <v>4</v>
      </c>
      <c r="D1" s="3" t="s">
        <v>2</v>
      </c>
      <c r="E1" s="3" t="s">
        <v>5</v>
      </c>
      <c r="F1" s="4" t="s">
        <v>6</v>
      </c>
    </row>
    <row r="2" spans="1:8" s="10" customFormat="1" x14ac:dyDescent="0.3">
      <c r="A2" s="6"/>
      <c r="B2" s="7" t="s">
        <v>1</v>
      </c>
      <c r="C2" s="7"/>
      <c r="D2" s="8" t="s">
        <v>1</v>
      </c>
      <c r="E2" s="8"/>
      <c r="F2" s="9"/>
    </row>
    <row r="3" spans="1:8" x14ac:dyDescent="0.3">
      <c r="A3" s="11">
        <v>45610</v>
      </c>
      <c r="B3" s="12">
        <v>158.6</v>
      </c>
      <c r="D3" s="13">
        <v>9731</v>
      </c>
      <c r="E3" s="12"/>
    </row>
    <row r="4" spans="1:8" x14ac:dyDescent="0.3">
      <c r="A4" s="11">
        <v>45613</v>
      </c>
      <c r="B4" s="12">
        <v>232.65</v>
      </c>
      <c r="C4" s="12">
        <f>B4-B3</f>
        <v>74.050000000000011</v>
      </c>
      <c r="D4" s="13">
        <v>9977</v>
      </c>
      <c r="E4" s="12">
        <f>D4-D3</f>
        <v>246</v>
      </c>
      <c r="F4" s="14">
        <f>E4/C4</f>
        <v>3.3220796758946651</v>
      </c>
      <c r="G4" s="15" t="s">
        <v>18</v>
      </c>
    </row>
    <row r="5" spans="1:8" x14ac:dyDescent="0.3">
      <c r="A5" s="11">
        <v>45615</v>
      </c>
      <c r="B5" s="12">
        <v>306.70999999999998</v>
      </c>
      <c r="C5" s="12">
        <f>B5-B4</f>
        <v>74.059999999999974</v>
      </c>
      <c r="D5" s="13">
        <v>10233</v>
      </c>
      <c r="E5" s="12">
        <f>D5-D4</f>
        <v>256</v>
      </c>
      <c r="F5" s="14">
        <f>E5/C5</f>
        <v>3.4566567647853104</v>
      </c>
    </row>
    <row r="6" spans="1:8" x14ac:dyDescent="0.3">
      <c r="A6" s="11">
        <v>45623</v>
      </c>
      <c r="B6" s="12">
        <v>508.07</v>
      </c>
      <c r="C6" s="12">
        <f>B6-B5</f>
        <v>201.36</v>
      </c>
      <c r="D6" s="13">
        <v>10950</v>
      </c>
      <c r="E6" s="12">
        <f>D6-D5</f>
        <v>717</v>
      </c>
      <c r="F6" s="14">
        <f>E6/C6</f>
        <v>3.5607866507747317</v>
      </c>
      <c r="G6" s="15" t="s">
        <v>19</v>
      </c>
      <c r="H6" s="15" t="s">
        <v>17</v>
      </c>
    </row>
    <row r="7" spans="1:8" x14ac:dyDescent="0.3">
      <c r="A7" s="11">
        <v>45627</v>
      </c>
      <c r="B7" s="12">
        <v>578.99</v>
      </c>
      <c r="C7" s="12">
        <f>B7-B6</f>
        <v>70.920000000000016</v>
      </c>
      <c r="D7" s="13">
        <v>11245</v>
      </c>
      <c r="E7" s="12">
        <f>D7-D6</f>
        <v>295</v>
      </c>
      <c r="F7" s="14">
        <f>E7/C7</f>
        <v>4.1596164692611381</v>
      </c>
      <c r="H7" s="15" t="s">
        <v>20</v>
      </c>
    </row>
    <row r="8" spans="1:8" x14ac:dyDescent="0.3">
      <c r="D8" s="13"/>
      <c r="E8" s="12"/>
    </row>
    <row r="9" spans="1:8" x14ac:dyDescent="0.3">
      <c r="D9" s="13"/>
      <c r="E9" s="12"/>
    </row>
    <row r="10" spans="1:8" x14ac:dyDescent="0.3">
      <c r="D10" s="13"/>
      <c r="E10" s="12"/>
    </row>
    <row r="11" spans="1:8" x14ac:dyDescent="0.3">
      <c r="D11" s="13"/>
      <c r="E11" s="12"/>
    </row>
    <row r="12" spans="1:8" x14ac:dyDescent="0.3">
      <c r="D12" s="13"/>
      <c r="E12" s="12"/>
    </row>
    <row r="13" spans="1:8" x14ac:dyDescent="0.3">
      <c r="D13" s="13"/>
      <c r="E13" s="12"/>
    </row>
    <row r="14" spans="1:8" x14ac:dyDescent="0.3">
      <c r="D14" s="13"/>
      <c r="E14" s="12"/>
    </row>
    <row r="15" spans="1:8" x14ac:dyDescent="0.3">
      <c r="D15" s="13"/>
      <c r="E15" s="12"/>
    </row>
    <row r="16" spans="1:8" x14ac:dyDescent="0.3">
      <c r="D16" s="13"/>
      <c r="E16" s="12"/>
    </row>
    <row r="17" spans="1:6" x14ac:dyDescent="0.3">
      <c r="D17" s="13"/>
      <c r="E17" s="12"/>
    </row>
    <row r="18" spans="1:6" x14ac:dyDescent="0.3">
      <c r="D18" s="13"/>
      <c r="E18" s="12"/>
    </row>
    <row r="19" spans="1:6" s="19" customFormat="1" x14ac:dyDescent="0.3">
      <c r="A19" s="16" t="s">
        <v>7</v>
      </c>
      <c r="B19" s="17"/>
      <c r="C19" s="17"/>
      <c r="D19" s="17"/>
      <c r="E19" s="17"/>
      <c r="F19" s="18"/>
    </row>
    <row r="20" spans="1:6" s="23" customFormat="1" x14ac:dyDescent="0.3">
      <c r="A20" s="20"/>
      <c r="B20" s="21" t="s">
        <v>13</v>
      </c>
      <c r="C20" s="21" t="s">
        <v>15</v>
      </c>
      <c r="D20" s="21" t="s">
        <v>8</v>
      </c>
      <c r="E20" s="21" t="s">
        <v>10</v>
      </c>
      <c r="F20" s="22" t="s">
        <v>6</v>
      </c>
    </row>
    <row r="21" spans="1:6" s="27" customFormat="1" x14ac:dyDescent="0.3">
      <c r="A21" s="24"/>
      <c r="B21" s="25" t="s">
        <v>11</v>
      </c>
      <c r="C21" s="25" t="s">
        <v>11</v>
      </c>
      <c r="D21" s="25" t="s">
        <v>9</v>
      </c>
      <c r="E21" s="25" t="s">
        <v>9</v>
      </c>
      <c r="F21" s="26"/>
    </row>
    <row r="22" spans="1:6" x14ac:dyDescent="0.3">
      <c r="A22" s="11" t="s">
        <v>12</v>
      </c>
      <c r="B22" s="28" t="s">
        <v>14</v>
      </c>
      <c r="D22" s="12">
        <v>2.4500000000000002</v>
      </c>
      <c r="E22" s="12">
        <v>11.6</v>
      </c>
      <c r="F22" s="14">
        <f>E22/D22</f>
        <v>4.7346938775510203</v>
      </c>
    </row>
    <row r="23" spans="1:6" x14ac:dyDescent="0.3">
      <c r="D23" s="12">
        <v>2.76</v>
      </c>
      <c r="E23" s="12">
        <v>10.3</v>
      </c>
      <c r="F23" s="14">
        <f>E23/D23</f>
        <v>3.7318840579710151</v>
      </c>
    </row>
    <row r="24" spans="1:6" x14ac:dyDescent="0.3">
      <c r="B24" s="12">
        <v>31.4</v>
      </c>
      <c r="D24" s="12">
        <v>2.25</v>
      </c>
      <c r="E24" s="12">
        <v>11.3</v>
      </c>
      <c r="F24" s="14">
        <f>E24/D24</f>
        <v>5.0222222222222221</v>
      </c>
    </row>
    <row r="25" spans="1:6" x14ac:dyDescent="0.3">
      <c r="D25" s="12">
        <v>2.14</v>
      </c>
      <c r="E25" s="12">
        <v>11.3</v>
      </c>
      <c r="F25" s="14">
        <f>E25/D25</f>
        <v>5.2803738317757007</v>
      </c>
    </row>
    <row r="26" spans="1:6" x14ac:dyDescent="0.3">
      <c r="A26" s="11" t="s">
        <v>16</v>
      </c>
      <c r="D26" s="12">
        <v>3.4</v>
      </c>
      <c r="E26" s="12">
        <v>9.6</v>
      </c>
      <c r="F26" s="14">
        <f>E26/D26</f>
        <v>2.8235294117647061</v>
      </c>
    </row>
    <row r="27" spans="1:6" x14ac:dyDescent="0.3">
      <c r="D27" s="12"/>
      <c r="E27" s="12"/>
    </row>
    <row r="28" spans="1:6" x14ac:dyDescent="0.3">
      <c r="D28" s="12"/>
      <c r="E28" s="12"/>
    </row>
    <row r="29" spans="1:6" x14ac:dyDescent="0.3">
      <c r="D29" s="12"/>
      <c r="E29" s="12"/>
    </row>
  </sheetData>
  <pageMargins left="0.25" right="0.25" top="0.75" bottom="0.75" header="0.3" footer="0.3"/>
  <pageSetup paperSize="9" orientation="landscape" r:id="rId1"/>
  <headerFooter>
    <oddFooter>&amp;L&amp;Z&amp;F&amp;R&amp;D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Rees</dc:creator>
  <cp:lastModifiedBy>Viktor Rees</cp:lastModifiedBy>
  <cp:lastPrinted>2024-11-27T10:52:05Z</cp:lastPrinted>
  <dcterms:created xsi:type="dcterms:W3CDTF">2024-11-14T18:27:32Z</dcterms:created>
  <dcterms:modified xsi:type="dcterms:W3CDTF">2024-12-02T07:05:12Z</dcterms:modified>
</cp:coreProperties>
</file>