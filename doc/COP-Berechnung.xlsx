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ärmepumpe" sheetId="1" state="visible" r:id="rId2"/>
    <sheet name="Übersicht Dez. 2024" sheetId="2" state="visible" r:id="rId3"/>
    <sheet name="Tabe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<sst xmlns="http://schemas.openxmlformats.org/spreadsheetml/2006/main" count="40" uniqueCount="33">
  <si>
    <t xml:space="preserve">Datum</t>
  </si>
  <si>
    <t xml:space="preserve">Stromzähler</t>
  </si>
  <si>
    <t xml:space="preserve">Diff Strom</t>
  </si>
  <si>
    <t xml:space="preserve">Wärmezähler</t>
  </si>
  <si>
    <t xml:space="preserve">Diff Wärme</t>
  </si>
  <si>
    <t xml:space="preserve">COP</t>
  </si>
  <si>
    <t xml:space="preserve">kWh</t>
  </si>
  <si>
    <t xml:space="preserve">41-48° Vorlauf</t>
  </si>
  <si>
    <t xml:space="preserve">33-40° Vorlauf</t>
  </si>
  <si>
    <t xml:space="preserve">42-48° Warmwaser</t>
  </si>
  <si>
    <t xml:space="preserve">Zirkulation aus (27.11. - 11 Uhr)</t>
  </si>
  <si>
    <t xml:space="preserve">mit Schwerkraft-Drossel</t>
  </si>
  <si>
    <t xml:space="preserve">Momentanwerte</t>
  </si>
  <si>
    <t xml:space="preserve">Rücklauf Temp.</t>
  </si>
  <si>
    <t xml:space="preserve">Vorlauf Temp.</t>
  </si>
  <si>
    <t xml:space="preserve">Strom</t>
  </si>
  <si>
    <t xml:space="preserve">Wärme</t>
  </si>
  <si>
    <t xml:space="preserve">°C</t>
  </si>
  <si>
    <t xml:space="preserve">kW</t>
  </si>
  <si>
    <t xml:space="preserve">Gut</t>
  </si>
  <si>
    <t xml:space="preserve">ca. 35</t>
  </si>
  <si>
    <t xml:space="preserve">Schlecht</t>
  </si>
  <si>
    <t xml:space="preserve">Tage</t>
  </si>
  <si>
    <t xml:space="preserve">Gesamtverbrauch am Stromzähler</t>
  </si>
  <si>
    <t xml:space="preserve">Wärmepumpe</t>
  </si>
  <si>
    <t xml:space="preserve">Wallbox</t>
  </si>
  <si>
    <t xml:space="preserve">Hausverbrauch</t>
  </si>
  <si>
    <t xml:space="preserve">Verbrauch pro Tag</t>
  </si>
  <si>
    <t xml:space="preserve">27.11. - 10.12.2024</t>
  </si>
  <si>
    <t xml:space="preserve">10.12. - 18.12.2024</t>
  </si>
  <si>
    <t xml:space="preserve">18.12. - 25.12.2024</t>
  </si>
  <si>
    <t xml:space="preserve">25.12. - 27.12.2024</t>
  </si>
  <si>
    <t xml:space="preserve">27.12. - 31.12.2024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</si>
</sst>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;@"/>
    <numFmt numFmtId="166" formatCode="0.00"/>
    <numFmt numFmtId="167" formatCode="0.0"/>
    <numFmt numFmtId="168" formatCode="0"/>
    <numFmt numFmtId="169" formatCode="dd/mm/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DAE3F3"/>
        <bgColor rgb="FFCC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dotted"/>
      <right style="dotted"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tted"/>
      <right/>
      <top/>
      <bottom style="thin"/>
      <diagonal/>
    </border>
    <border diagonalUp="false" diagonalDown="false">
      <left style="thin"/>
      <right style="dotted"/>
      <top/>
      <bottom style="thin"/>
      <diagonal/>
    </border>
    <border diagonalUp="false" diagonalDown="false">
      <left style="dotted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tted"/>
      <right style="dotted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27.859375" defaultRowHeight="17.25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2" width="17.14"/>
    <col collapsed="false" customWidth="true" hidden="false" outlineLevel="0" max="3" min="3" style="2" width="14.71"/>
    <col collapsed="false" customWidth="true" hidden="false" outlineLevel="0" max="4" min="4" style="3" width="16.14"/>
    <col collapsed="false" customWidth="true" hidden="false" outlineLevel="0" max="5" min="5" style="3" width="13.85"/>
    <col collapsed="false" customWidth="true" hidden="false" outlineLevel="0" max="6" min="6" style="4" width="10.14"/>
    <col collapsed="false" customWidth="true" hidden="false" outlineLevel="0" max="7" min="7" style="5" width="18.57"/>
    <col collapsed="false" customWidth="true" hidden="false" outlineLevel="0" max="8" min="8" style="5" width="35"/>
    <col collapsed="false" customWidth="false" hidden="false" outlineLevel="0" max="1024" min="9" style="5" width="27.85"/>
  </cols>
  <sheetData>
    <row r="1" s="13" customFormat="true" ht="17.25" hidden="false" customHeight="fals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/>
    </row>
    <row r="2" s="21" customFormat="true" ht="17.25" hidden="false" customHeight="false" outlineLevel="0" collapsed="false">
      <c r="A2" s="14"/>
      <c r="B2" s="15" t="s">
        <v>6</v>
      </c>
      <c r="C2" s="16" t="s">
        <v>6</v>
      </c>
      <c r="D2" s="17" t="s">
        <v>6</v>
      </c>
      <c r="E2" s="18" t="s">
        <v>6</v>
      </c>
      <c r="F2" s="19"/>
      <c r="G2" s="20"/>
    </row>
    <row r="3" customFormat="false" ht="17.25" hidden="false" customHeight="false" outlineLevel="0" collapsed="false">
      <c r="A3" s="22" t="n">
        <v>45610</v>
      </c>
      <c r="B3" s="23" t="n">
        <v>158.6</v>
      </c>
      <c r="C3" s="24"/>
      <c r="D3" s="25" t="n">
        <v>9731</v>
      </c>
      <c r="E3" s="24"/>
      <c r="F3" s="26"/>
      <c r="G3" s="27"/>
    </row>
    <row r="4" customFormat="false" ht="17.25" hidden="false" customHeight="false" outlineLevel="0" collapsed="false">
      <c r="A4" s="22" t="n">
        <v>45613</v>
      </c>
      <c r="B4" s="23" t="n">
        <v>232.65</v>
      </c>
      <c r="C4" s="24" t="n">
        <f aca="false">B4-B3</f>
        <v>74.05</v>
      </c>
      <c r="D4" s="25" t="n">
        <v>9977</v>
      </c>
      <c r="E4" s="24" t="n">
        <f aca="false">D4-D3</f>
        <v>246</v>
      </c>
      <c r="F4" s="26" t="n">
        <f aca="false">E4/C4</f>
        <v>3.32207967589467</v>
      </c>
      <c r="G4" s="27" t="s">
        <v>7</v>
      </c>
    </row>
    <row r="5" customFormat="false" ht="17.25" hidden="false" customHeight="false" outlineLevel="0" collapsed="false">
      <c r="A5" s="22" t="n">
        <v>45615</v>
      </c>
      <c r="B5" s="23" t="n">
        <v>306.71</v>
      </c>
      <c r="C5" s="24" t="n">
        <f aca="false">B5-B4</f>
        <v>74.06</v>
      </c>
      <c r="D5" s="25" t="n">
        <v>10233</v>
      </c>
      <c r="E5" s="24" t="n">
        <f aca="false">D5-D4</f>
        <v>256</v>
      </c>
      <c r="F5" s="26" t="n">
        <f aca="false">E5/C5</f>
        <v>3.45665676478531</v>
      </c>
      <c r="G5" s="27"/>
    </row>
    <row r="6" customFormat="false" ht="17.25" hidden="false" customHeight="false" outlineLevel="0" collapsed="false">
      <c r="A6" s="22" t="n">
        <v>45623</v>
      </c>
      <c r="B6" s="23" t="n">
        <v>508.07</v>
      </c>
      <c r="C6" s="24" t="n">
        <f aca="false">B6-B5</f>
        <v>201.36</v>
      </c>
      <c r="D6" s="25" t="n">
        <v>10950</v>
      </c>
      <c r="E6" s="24" t="n">
        <f aca="false">D6-D5</f>
        <v>717</v>
      </c>
      <c r="F6" s="26" t="n">
        <f aca="false">E6/C6</f>
        <v>3.56078665077473</v>
      </c>
      <c r="G6" s="27" t="s">
        <v>8</v>
      </c>
      <c r="H6" s="5" t="s">
        <v>9</v>
      </c>
    </row>
    <row r="7" customFormat="false" ht="17.25" hidden="false" customHeight="false" outlineLevel="0" collapsed="false">
      <c r="A7" s="22" t="n">
        <v>45627</v>
      </c>
      <c r="B7" s="23" t="n">
        <v>578.99</v>
      </c>
      <c r="C7" s="24" t="n">
        <f aca="false">B7-B6</f>
        <v>70.92</v>
      </c>
      <c r="D7" s="25" t="n">
        <v>11245</v>
      </c>
      <c r="E7" s="24" t="n">
        <f aca="false">D7-D6</f>
        <v>295</v>
      </c>
      <c r="F7" s="26" t="n">
        <f aca="false">E7/C7</f>
        <v>4.15961646926114</v>
      </c>
      <c r="G7" s="27"/>
      <c r="H7" s="5" t="s">
        <v>10</v>
      </c>
    </row>
    <row r="8" customFormat="false" ht="17.25" hidden="false" customHeight="false" outlineLevel="0" collapsed="false">
      <c r="A8" s="22" t="n">
        <v>45636</v>
      </c>
      <c r="B8" s="23" t="n">
        <v>824</v>
      </c>
      <c r="C8" s="24" t="n">
        <f aca="false">B8-B7</f>
        <v>245.01</v>
      </c>
      <c r="D8" s="25" t="n">
        <v>12144</v>
      </c>
      <c r="E8" s="24" t="n">
        <f aca="false">D8-D7</f>
        <v>899</v>
      </c>
      <c r="F8" s="26" t="n">
        <f aca="false">E8/C8</f>
        <v>3.66923799028611</v>
      </c>
      <c r="G8" s="27"/>
    </row>
    <row r="9" customFormat="false" ht="16.15" hidden="false" customHeight="false" outlineLevel="0" collapsed="false">
      <c r="A9" s="22" t="n">
        <v>45644</v>
      </c>
      <c r="B9" s="23" t="n">
        <v>1020</v>
      </c>
      <c r="C9" s="24" t="n">
        <f aca="false">B9-B8</f>
        <v>196</v>
      </c>
      <c r="D9" s="25" t="n">
        <v>12862</v>
      </c>
      <c r="E9" s="24" t="n">
        <f aca="false">D9-D8</f>
        <v>718</v>
      </c>
      <c r="F9" s="26" t="n">
        <f aca="false">E9/C9</f>
        <v>3.66326530612245</v>
      </c>
      <c r="G9" s="27"/>
    </row>
    <row r="10" customFormat="false" ht="16.15" hidden="false" customHeight="false" outlineLevel="0" collapsed="false">
      <c r="A10" s="22" t="n">
        <v>45647</v>
      </c>
      <c r="B10" s="23" t="n">
        <v>1105</v>
      </c>
      <c r="C10" s="24" t="n">
        <f aca="false">B10-B9</f>
        <v>85</v>
      </c>
      <c r="D10" s="25" t="n">
        <v>13160</v>
      </c>
      <c r="E10" s="24" t="n">
        <f aca="false">D10-D9</f>
        <v>298</v>
      </c>
      <c r="F10" s="26" t="n">
        <f aca="false">E10/C10</f>
        <v>3.50588235294118</v>
      </c>
      <c r="G10" s="27"/>
    </row>
    <row r="11" customFormat="false" ht="16.15" hidden="false" customHeight="false" outlineLevel="0" collapsed="false">
      <c r="A11" s="22" t="n">
        <v>45651</v>
      </c>
      <c r="B11" s="23" t="n">
        <v>1190</v>
      </c>
      <c r="C11" s="24" t="n">
        <f aca="false">B11-B10</f>
        <v>85</v>
      </c>
      <c r="D11" s="25" t="n">
        <v>13498</v>
      </c>
      <c r="E11" s="24" t="n">
        <f aca="false">D11-D10</f>
        <v>338</v>
      </c>
      <c r="F11" s="26" t="n">
        <f aca="false">E11/C11</f>
        <v>3.97647058823529</v>
      </c>
      <c r="G11" s="27"/>
      <c r="H11" s="5" t="s">
        <v>11</v>
      </c>
    </row>
    <row r="12" customFormat="false" ht="16.15" hidden="false" customHeight="false" outlineLevel="0" collapsed="false">
      <c r="A12" s="22" t="n">
        <v>45653</v>
      </c>
      <c r="B12" s="23" t="n">
        <v>1236</v>
      </c>
      <c r="C12" s="24" t="n">
        <f aca="false">B12-B11</f>
        <v>46</v>
      </c>
      <c r="D12" s="25" t="n">
        <v>13705</v>
      </c>
      <c r="E12" s="24" t="n">
        <f aca="false">D12-D11</f>
        <v>207</v>
      </c>
      <c r="F12" s="26" t="n">
        <f aca="false">E12/C12</f>
        <v>4.5</v>
      </c>
      <c r="G12" s="27"/>
    </row>
    <row r="13" customFormat="false" ht="16.15" hidden="false" customHeight="false" outlineLevel="0" collapsed="false">
      <c r="A13" s="22" t="n">
        <v>45657</v>
      </c>
      <c r="B13" s="23" t="n">
        <v>1316</v>
      </c>
      <c r="C13" s="24" t="n">
        <f aca="false">B13-B12</f>
        <v>80</v>
      </c>
      <c r="D13" s="25" t="n">
        <v>14027</v>
      </c>
      <c r="E13" s="24" t="n">
        <f aca="false">D13-D12</f>
        <v>322</v>
      </c>
      <c r="F13" s="26" t="n">
        <f aca="false">E13/C13</f>
        <v>4.025</v>
      </c>
      <c r="G13" s="27"/>
    </row>
    <row r="14" customFormat="false" ht="17.25" hidden="false" customHeight="false" outlineLevel="0" collapsed="false">
      <c r="A14" s="22"/>
      <c r="B14" s="23"/>
      <c r="C14" s="24"/>
      <c r="D14" s="25"/>
      <c r="E14" s="24"/>
      <c r="F14" s="26"/>
      <c r="G14" s="27"/>
    </row>
    <row r="15" customFormat="false" ht="17.25" hidden="false" customHeight="false" outlineLevel="0" collapsed="false">
      <c r="A15" s="22"/>
      <c r="B15" s="23"/>
      <c r="C15" s="24"/>
      <c r="D15" s="25"/>
      <c r="E15" s="24"/>
      <c r="F15" s="26"/>
      <c r="G15" s="27"/>
    </row>
    <row r="16" customFormat="false" ht="17.25" hidden="false" customHeight="false" outlineLevel="0" collapsed="false">
      <c r="A16" s="22"/>
      <c r="B16" s="23"/>
      <c r="C16" s="24"/>
      <c r="D16" s="25"/>
      <c r="E16" s="24"/>
      <c r="F16" s="26"/>
      <c r="G16" s="27"/>
    </row>
    <row r="17" customFormat="false" ht="17.25" hidden="false" customHeight="false" outlineLevel="0" collapsed="false">
      <c r="A17" s="22"/>
      <c r="B17" s="23"/>
      <c r="C17" s="24"/>
      <c r="D17" s="25"/>
      <c r="E17" s="24"/>
      <c r="F17" s="26"/>
      <c r="G17" s="27"/>
    </row>
    <row r="18" customFormat="false" ht="17.25" hidden="false" customHeight="false" outlineLevel="0" collapsed="false">
      <c r="D18" s="28"/>
      <c r="E18" s="2"/>
    </row>
    <row r="19" s="32" customFormat="true" ht="17.25" hidden="false" customHeight="false" outlineLevel="0" collapsed="false">
      <c r="A19" s="29" t="s">
        <v>12</v>
      </c>
      <c r="B19" s="30"/>
      <c r="C19" s="30"/>
      <c r="D19" s="30"/>
      <c r="E19" s="30"/>
      <c r="F19" s="31"/>
    </row>
    <row r="20" s="36" customFormat="true" ht="17.25" hidden="false" customHeight="false" outlineLevel="0" collapsed="false">
      <c r="A20" s="33"/>
      <c r="B20" s="34" t="s">
        <v>13</v>
      </c>
      <c r="C20" s="34" t="s">
        <v>14</v>
      </c>
      <c r="D20" s="34" t="s">
        <v>15</v>
      </c>
      <c r="E20" s="34" t="s">
        <v>16</v>
      </c>
      <c r="F20" s="35" t="s">
        <v>5</v>
      </c>
    </row>
    <row r="21" s="40" customFormat="true" ht="17.25" hidden="false" customHeight="false" outlineLevel="0" collapsed="false">
      <c r="A21" s="37"/>
      <c r="B21" s="38" t="s">
        <v>17</v>
      </c>
      <c r="C21" s="38" t="s">
        <v>17</v>
      </c>
      <c r="D21" s="38" t="s">
        <v>18</v>
      </c>
      <c r="E21" s="38" t="s">
        <v>18</v>
      </c>
      <c r="F21" s="39"/>
    </row>
    <row r="22" customFormat="false" ht="17.25" hidden="false" customHeight="false" outlineLevel="0" collapsed="false">
      <c r="A22" s="1" t="s">
        <v>19</v>
      </c>
      <c r="B22" s="41" t="s">
        <v>20</v>
      </c>
      <c r="D22" s="2" t="n">
        <v>2.45</v>
      </c>
      <c r="E22" s="2" t="n">
        <v>11.6</v>
      </c>
      <c r="F22" s="4" t="n">
        <f aca="false">E22/D22</f>
        <v>4.73469387755102</v>
      </c>
    </row>
    <row r="23" customFormat="false" ht="17.25" hidden="false" customHeight="false" outlineLevel="0" collapsed="false">
      <c r="D23" s="2" t="n">
        <v>2.76</v>
      </c>
      <c r="E23" s="2" t="n">
        <v>10.3</v>
      </c>
      <c r="F23" s="4" t="n">
        <f aca="false">E23/D23</f>
        <v>3.73188405797101</v>
      </c>
    </row>
    <row r="24" customFormat="false" ht="17.25" hidden="false" customHeight="false" outlineLevel="0" collapsed="false">
      <c r="B24" s="2" t="n">
        <v>31.4</v>
      </c>
      <c r="D24" s="2" t="n">
        <v>2.25</v>
      </c>
      <c r="E24" s="2" t="n">
        <v>11.3</v>
      </c>
      <c r="F24" s="4" t="n">
        <f aca="false">E24/D24</f>
        <v>5.02222222222222</v>
      </c>
    </row>
    <row r="25" customFormat="false" ht="17.25" hidden="false" customHeight="false" outlineLevel="0" collapsed="false">
      <c r="D25" s="2" t="n">
        <v>2.14</v>
      </c>
      <c r="E25" s="2" t="n">
        <v>11.3</v>
      </c>
      <c r="F25" s="4" t="n">
        <f aca="false">E25/D25</f>
        <v>5.2803738317757</v>
      </c>
    </row>
    <row r="26" customFormat="false" ht="17.25" hidden="false" customHeight="false" outlineLevel="0" collapsed="false">
      <c r="D26" s="2"/>
      <c r="E26" s="2"/>
    </row>
    <row r="27" customFormat="false" ht="17.25" hidden="false" customHeight="false" outlineLevel="0" collapsed="false">
      <c r="D27" s="2"/>
      <c r="E27" s="2"/>
    </row>
    <row r="28" customFormat="false" ht="17.25" hidden="false" customHeight="false" outlineLevel="0" collapsed="false">
      <c r="A28" s="1" t="s">
        <v>21</v>
      </c>
      <c r="D28" s="2" t="n">
        <v>3.4</v>
      </c>
      <c r="E28" s="2" t="n">
        <v>9.6</v>
      </c>
      <c r="F28" s="4" t="n">
        <f aca="false">E28/D28</f>
        <v>2.82352941176471</v>
      </c>
    </row>
    <row r="29" customFormat="false" ht="16.15" hidden="false" customHeight="false" outlineLevel="0" collapsed="false">
      <c r="D29" s="2" t="n">
        <v>2.97</v>
      </c>
      <c r="E29" s="2" t="n">
        <v>10.5</v>
      </c>
      <c r="F29" s="4" t="n">
        <f aca="false">E29/D29</f>
        <v>3.53535353535353</v>
      </c>
    </row>
    <row r="30" customFormat="false" ht="16.15" hidden="false" customHeight="false" outlineLevel="0" collapsed="false">
      <c r="D30" s="0"/>
      <c r="E30" s="0"/>
      <c r="F30" s="0"/>
    </row>
    <row r="31" customFormat="false" ht="17.25" hidden="false" customHeight="false" outlineLevel="0" collapsed="false">
      <c r="D31" s="2"/>
      <c r="E31" s="2"/>
    </row>
  </sheetData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&amp;L&amp;Z&amp;F&amp;R&amp;D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I10" activeCellId="0" sqref="I10"/>
    </sheetView>
  </sheetViews>
  <sheetFormatPr defaultColWidth="10.5390625" defaultRowHeight="15" zeroHeight="false" outlineLevelRow="0" outlineLevelCol="0"/>
  <cols>
    <col collapsed="false" customWidth="true" hidden="false" outlineLevel="0" max="1" min="1" style="42" width="22.43"/>
    <col collapsed="false" customWidth="true" hidden="false" outlineLevel="0" max="2" min="2" style="42" width="6.11"/>
    <col collapsed="false" customWidth="true" hidden="false" outlineLevel="0" max="3" min="3" style="43" width="20.34"/>
    <col collapsed="false" customWidth="true" hidden="false" outlineLevel="0" max="4" min="4" style="43" width="17.3"/>
    <col collapsed="false" customWidth="false" hidden="false" outlineLevel="0" max="5" min="5" style="43" width="10.53"/>
    <col collapsed="false" customWidth="true" hidden="false" outlineLevel="0" max="6" min="6" style="43" width="16.96"/>
    <col collapsed="false" customWidth="false" hidden="false" outlineLevel="0" max="7" min="7" style="43" width="10.53"/>
    <col collapsed="false" customWidth="true" hidden="false" outlineLevel="0" max="8" min="8" style="43" width="11.7"/>
    <col collapsed="false" customWidth="false" hidden="false" outlineLevel="0" max="1024" min="9" style="42" width="10.53"/>
  </cols>
  <sheetData>
    <row r="1" s="44" customFormat="true" ht="29.25" hidden="false" customHeight="true" outlineLevel="0" collapsed="false">
      <c r="A1" s="44" t="s">
        <v>0</v>
      </c>
      <c r="B1" s="44" t="s">
        <v>22</v>
      </c>
      <c r="C1" s="45" t="s">
        <v>23</v>
      </c>
      <c r="D1" s="45" t="s">
        <v>24</v>
      </c>
      <c r="E1" s="45" t="s">
        <v>25</v>
      </c>
      <c r="F1" s="45" t="s">
        <v>26</v>
      </c>
      <c r="G1" s="45"/>
      <c r="H1" s="45" t="s">
        <v>27</v>
      </c>
    </row>
    <row r="2" customFormat="false" ht="15" hidden="false" customHeight="false" outlineLevel="0" collapsed="false">
      <c r="A2" s="42" t="s">
        <v>28</v>
      </c>
      <c r="B2" s="42" t="n">
        <v>13</v>
      </c>
      <c r="C2" s="43" t="n">
        <v>1155</v>
      </c>
      <c r="D2" s="43" t="n">
        <v>316</v>
      </c>
      <c r="E2" s="43" t="n">
        <v>166</v>
      </c>
      <c r="F2" s="43" t="n">
        <v>674</v>
      </c>
      <c r="H2" s="43" t="n">
        <f aca="false">C2/B2</f>
        <v>88.8461538461538</v>
      </c>
    </row>
    <row r="3" customFormat="false" ht="15" hidden="false" customHeight="false" outlineLevel="0" collapsed="false">
      <c r="A3" s="42" t="s">
        <v>29</v>
      </c>
      <c r="B3" s="42" t="n">
        <v>8</v>
      </c>
      <c r="C3" s="43" t="n">
        <v>341</v>
      </c>
      <c r="D3" s="43" t="n">
        <v>196</v>
      </c>
      <c r="E3" s="43" t="n">
        <v>94</v>
      </c>
      <c r="F3" s="43" t="n">
        <f aca="false">C3-D3-E3</f>
        <v>51</v>
      </c>
      <c r="H3" s="43" t="n">
        <f aca="false">C3/B3</f>
        <v>42.625</v>
      </c>
    </row>
    <row r="4" customFormat="false" ht="15" hidden="false" customHeight="false" outlineLevel="0" collapsed="false">
      <c r="A4" s="46" t="s">
        <v>30</v>
      </c>
      <c r="B4" s="42" t="n">
        <v>7</v>
      </c>
      <c r="C4" s="42" t="n">
        <v>422</v>
      </c>
      <c r="D4" s="47" t="n">
        <v>170</v>
      </c>
      <c r="E4" s="43" t="n">
        <v>108</v>
      </c>
      <c r="F4" s="43" t="n">
        <f aca="false">C4-D4-E4</f>
        <v>144</v>
      </c>
      <c r="H4" s="43" t="n">
        <f aca="false">C4/B4</f>
        <v>60.2857142857143</v>
      </c>
    </row>
    <row r="5" customFormat="false" ht="15" hidden="false" customHeight="false" outlineLevel="0" collapsed="false">
      <c r="A5" s="46" t="s">
        <v>31</v>
      </c>
      <c r="B5" s="42" t="n">
        <v>8</v>
      </c>
      <c r="C5" s="43" t="n">
        <v>55</v>
      </c>
      <c r="D5" s="43" t="n">
        <v>46</v>
      </c>
      <c r="E5" s="43" t="n">
        <v>10</v>
      </c>
      <c r="F5" s="43" t="n">
        <f aca="false">C5-D5-E5</f>
        <v>-1</v>
      </c>
      <c r="H5" s="43" t="n">
        <f aca="false">C5/B5</f>
        <v>6.875</v>
      </c>
    </row>
    <row r="6" customFormat="false" ht="15" hidden="false" customHeight="false" outlineLevel="0" collapsed="false">
      <c r="A6" s="46" t="s">
        <v>32</v>
      </c>
      <c r="B6" s="42" t="n">
        <v>9</v>
      </c>
      <c r="C6" s="43" t="n">
        <v>88</v>
      </c>
      <c r="D6" s="43" t="n">
        <v>80</v>
      </c>
      <c r="E6" s="43" t="n">
        <v>38</v>
      </c>
      <c r="F6" s="43" t="n">
        <f aca="false">C6-D6-E6</f>
        <v>-30</v>
      </c>
      <c r="H6" s="43" t="n">
        <f aca="false">C6/B6</f>
        <v>9.77777777777778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9" activeCellId="0" sqref="A9"/>
    </sheetView>
  </sheetViews>
  <sheetFormatPr defaultColWidth="9.15234375" defaultRowHeight="12.8" zeroHeight="false" outlineLevelRow="0" outlineLevelCol="0"/>
  <sheetData>
    <row r="1" customFormat="false" ht="12.8" hidden="false" customHeight="false" outlineLevel="0" collapsed="false">
      <c r="A1" s="0" t="n">
        <v>9.9</v>
      </c>
    </row>
    <row r="2" customFormat="false" ht="12.8" hidden="false" customHeight="false" outlineLevel="0" collapsed="false">
      <c r="A2" s="0" t="n">
        <v>10</v>
      </c>
    </row>
    <row r="3" customFormat="false" ht="12.8" hidden="false" customHeight="false" outlineLevel="0" collapsed="false">
      <c r="A3" s="0" t="n">
        <v>12.9</v>
      </c>
    </row>
    <row r="4" customFormat="false" ht="12.8" hidden="false" customHeight="false" outlineLevel="0" collapsed="false">
      <c r="A4" s="0" t="n">
        <v>28</v>
      </c>
    </row>
    <row r="5" customFormat="false" ht="12.8" hidden="false" customHeight="false" outlineLevel="0" collapsed="false">
      <c r="A5" s="0" t="n">
        <v>19.3</v>
      </c>
    </row>
    <row r="6" customFormat="false" ht="12.8" hidden="false" customHeight="false" outlineLevel="0" collapsed="false">
      <c r="A6" s="0" t="n">
        <v>0</v>
      </c>
    </row>
    <row r="7" customFormat="false" ht="12.8" hidden="false" customHeight="false" outlineLevel="0" collapsed="false">
      <c r="A7" s="0" t="n">
        <v>26.9</v>
      </c>
    </row>
    <row r="8" customFormat="false" ht="12.8" hidden="false" customHeight="false" outlineLevel="0" collapsed="false">
      <c r="A8" s="0" t="n">
        <v>1</v>
      </c>
    </row>
    <row r="9" customFormat="false" ht="12.8" hidden="false" customHeight="false" outlineLevel="0" collapsed="false">
      <c r="A9" s="0" t="n">
        <f aca="false">SUM(A1:A8)</f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2024-11-14T18:27:32Z</dcterms:created>
  <dc:creator>Viktor Rees</dc:creator>
  <dc:description/>
  <dc:language>de-DE</dc:language>
  <cp:lastModifiedBy/>
  <cp:lastPrinted>2024-11-27T10:52:05Z</cp:lastPrinted>
  <dcterms:modified xsi:type="dcterms:W3CDTF">2024-12-31T10:17:24Z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