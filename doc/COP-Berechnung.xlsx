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ktor Rees\Documents\TcXaeShell\HeatpumpSPS\doc\"/>
    </mc:Choice>
  </mc:AlternateContent>
  <bookViews>
    <workbookView xWindow="0" yWindow="0" windowWidth="16380" windowHeight="8190" tabRatio="500"/>
  </bookViews>
  <sheets>
    <sheet name="Wärmepumpe" sheetId="1" r:id="rId1"/>
    <sheet name="Übersicht Dez. 2024" sheetId="2" r:id="rId2"/>
    <sheet name="Tabelle3" sheetId="3" r:id="rId3"/>
  </sheets>
  <definedNames>
    <definedName name="_xlnm.Print_Area" localSheetId="0">Wärmepumpe!$A$2:$H$31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1" i="1" l="1"/>
  <c r="G31" i="1"/>
  <c r="G30" i="1"/>
  <c r="E15" i="1"/>
  <c r="C15" i="1"/>
  <c r="F15" i="1" s="1"/>
  <c r="A9" i="3"/>
  <c r="H6" i="2"/>
  <c r="F6" i="2"/>
  <c r="H5" i="2"/>
  <c r="F5" i="2"/>
  <c r="H4" i="2"/>
  <c r="F4" i="2"/>
  <c r="H3" i="2"/>
  <c r="F3" i="2"/>
  <c r="H2" i="2"/>
  <c r="G29" i="1"/>
  <c r="G28" i="1"/>
  <c r="G24" i="1"/>
  <c r="G23" i="1"/>
  <c r="G22" i="1"/>
  <c r="G26" i="1"/>
  <c r="G2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F14" i="1" l="1"/>
  <c r="F10" i="1"/>
  <c r="F6" i="1"/>
  <c r="F8" i="1"/>
  <c r="F12" i="1"/>
  <c r="F4" i="1"/>
  <c r="F11" i="1"/>
  <c r="F9" i="1"/>
  <c r="F7" i="1"/>
  <c r="F5" i="1"/>
  <c r="F13" i="1"/>
</calcChain>
</file>

<file path=xl/sharedStrings.xml><?xml version="1.0" encoding="utf-8"?>
<sst xmlns="http://schemas.openxmlformats.org/spreadsheetml/2006/main" count="42" uniqueCount="34">
  <si>
    <t>Datum</t>
  </si>
  <si>
    <t>Stromzähler</t>
  </si>
  <si>
    <t>Diff Strom</t>
  </si>
  <si>
    <t>Wärmezähler</t>
  </si>
  <si>
    <t>Diff Wärme</t>
  </si>
  <si>
    <t>COP</t>
  </si>
  <si>
    <t>kWh</t>
  </si>
  <si>
    <t>41-48° Vorlauf</t>
  </si>
  <si>
    <t>33-40° Vorlauf</t>
  </si>
  <si>
    <t>42-48° Warmwaser</t>
  </si>
  <si>
    <t>Zirkulation aus (27.11. - 11 Uhr)</t>
  </si>
  <si>
    <t>mit Schwerkraft-Drossel</t>
  </si>
  <si>
    <t>Momentanwerte</t>
  </si>
  <si>
    <t>Rücklauf Temp.</t>
  </si>
  <si>
    <t>Vorlauf Temp.</t>
  </si>
  <si>
    <t>Strom</t>
  </si>
  <si>
    <t>Wärme</t>
  </si>
  <si>
    <t>°C</t>
  </si>
  <si>
    <t>kW</t>
  </si>
  <si>
    <t>Gut</t>
  </si>
  <si>
    <t>ca. 35</t>
  </si>
  <si>
    <t>Schlecht</t>
  </si>
  <si>
    <t>Tage</t>
  </si>
  <si>
    <t>Gesamtverbrauch am Stromzähler</t>
  </si>
  <si>
    <t>Wärmepumpe</t>
  </si>
  <si>
    <t>Wallbox</t>
  </si>
  <si>
    <t>Hausverbrauch</t>
  </si>
  <si>
    <t>Verbrauch pro Tag</t>
  </si>
  <si>
    <t>27.11. - 10.12.2024</t>
  </si>
  <si>
    <t>10.12. - 18.12.2024</t>
  </si>
  <si>
    <t>18.12. - 25.12.2024</t>
  </si>
  <si>
    <t>25.12. - 27.12.2024</t>
  </si>
  <si>
    <t>27.12. - 31.12.2024</t>
  </si>
  <si>
    <t>Verdampfer 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</si>
</sst>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;@"/>
    <numFmt numFmtId="165" formatCode="0.0"/>
    <numFmt numFmtId="166" formatCode="dd/mm/yy"/>
  </numFmts>
  <fonts count="3" x14ac:knownFonts="1"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D966"/>
        <bgColor rgb="FFFFFF99"/>
      </patternFill>
    </fill>
    <fill>
      <patternFill patternType="solid">
        <fgColor rgb="FFDAE3F3"/>
        <bgColor rgb="FFCCFFFF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dotted">
        <color auto="1"/>
      </left>
      <right/>
      <top/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1" fontId="1" fillId="0" borderId="0" xfId="0" applyNumberFormat="1" applyFont="1"/>
    <xf numFmtId="0" fontId="2" fillId="4" borderId="9" xfId="0" applyFont="1" applyFill="1" applyBorder="1" applyAlignment="1">
      <alignment vertical="top" wrapText="1"/>
    </xf>
    <xf numFmtId="1" fontId="2" fillId="4" borderId="9" xfId="0" applyNumberFormat="1" applyFont="1" applyFill="1" applyBorder="1" applyAlignment="1">
      <alignment vertical="top" wrapText="1"/>
    </xf>
    <xf numFmtId="166" fontId="1" fillId="0" borderId="0" xfId="0" applyNumberFormat="1" applyFont="1"/>
    <xf numFmtId="1" fontId="1" fillId="0" borderId="4" xfId="0" applyNumberFormat="1" applyFont="1" applyBorder="1"/>
    <xf numFmtId="164" fontId="1" fillId="2" borderId="2" xfId="0" applyNumberFormat="1" applyFont="1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center"/>
    </xf>
    <xf numFmtId="2" fontId="1" fillId="2" borderId="4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0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2" fontId="1" fillId="2" borderId="7" xfId="0" applyNumberFormat="1" applyFont="1" applyFill="1" applyBorder="1" applyAlignment="1">
      <alignment horizontal="center"/>
    </xf>
    <xf numFmtId="2" fontId="1" fillId="2" borderId="8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165" fontId="1" fillId="2" borderId="9" xfId="0" applyNumberFormat="1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64" fontId="1" fillId="0" borderId="2" xfId="0" applyNumberFormat="1" applyFont="1" applyBorder="1"/>
    <xf numFmtId="2" fontId="1" fillId="0" borderId="3" xfId="0" applyNumberFormat="1" applyFont="1" applyBorder="1"/>
    <xf numFmtId="2" fontId="1" fillId="0" borderId="4" xfId="0" applyNumberFormat="1" applyFont="1" applyBorder="1"/>
    <xf numFmtId="1" fontId="1" fillId="0" borderId="3" xfId="0" applyNumberFormat="1" applyFont="1" applyBorder="1"/>
    <xf numFmtId="165" fontId="1" fillId="0" borderId="0" xfId="0" applyNumberFormat="1" applyFont="1" applyBorder="1"/>
    <xf numFmtId="0" fontId="1" fillId="0" borderId="5" xfId="0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" fontId="1" fillId="0" borderId="1" xfId="0" applyNumberFormat="1" applyFont="1" applyBorder="1"/>
    <xf numFmtId="165" fontId="1" fillId="0" borderId="1" xfId="0" applyNumberFormat="1" applyFont="1" applyBorder="1"/>
    <xf numFmtId="164" fontId="2" fillId="3" borderId="1" xfId="0" applyNumberFormat="1" applyFont="1" applyFill="1" applyBorder="1"/>
    <xf numFmtId="2" fontId="1" fillId="3" borderId="1" xfId="0" applyNumberFormat="1" applyFont="1" applyFill="1" applyBorder="1"/>
    <xf numFmtId="165" fontId="1" fillId="3" borderId="1" xfId="0" applyNumberFormat="1" applyFont="1" applyFill="1" applyBorder="1"/>
    <xf numFmtId="0" fontId="1" fillId="3" borderId="0" xfId="0" applyFont="1" applyFill="1"/>
    <xf numFmtId="164" fontId="1" fillId="3" borderId="1" xfId="0" applyNumberFormat="1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4" fontId="1" fillId="3" borderId="11" xfId="0" applyNumberFormat="1" applyFont="1" applyFill="1" applyBorder="1" applyAlignment="1">
      <alignment horizontal="center"/>
    </xf>
    <xf numFmtId="2" fontId="1" fillId="3" borderId="11" xfId="0" applyNumberFormat="1" applyFont="1" applyFill="1" applyBorder="1" applyAlignment="1">
      <alignment horizontal="center"/>
    </xf>
    <xf numFmtId="165" fontId="1" fillId="3" borderId="11" xfId="0" applyNumberFormat="1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165" fontId="1" fillId="0" borderId="1" xfId="0" applyNumberFormat="1" applyFont="1" applyBorder="1" applyAlignment="1">
      <alignment horizontal="right"/>
    </xf>
    <xf numFmtId="2" fontId="1" fillId="0" borderId="0" xfId="0" applyNumberFormat="1" applyFont="1"/>
    <xf numFmtId="165" fontId="1" fillId="0" borderId="0" xfId="0" applyNumberFormat="1" applyFont="1"/>
    <xf numFmtId="0" fontId="1" fillId="0" borderId="1" xfId="0" applyFont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topLeftCell="A2" zoomScaleNormal="100" workbookViewId="0">
      <selection activeCell="L29" sqref="L29"/>
    </sheetView>
  </sheetViews>
  <sheetFormatPr baseColWidth="10" defaultColWidth="27.85546875" defaultRowHeight="15.75" x14ac:dyDescent="0.25"/>
  <cols>
    <col min="1" max="1" width="16.7109375" style="29" customWidth="1"/>
    <col min="2" max="2" width="17.140625" style="30" customWidth="1"/>
    <col min="3" max="3" width="14.7109375" style="30" customWidth="1"/>
    <col min="4" max="4" width="16.140625" style="48" customWidth="1"/>
    <col min="5" max="5" width="13.85546875" style="48" customWidth="1"/>
    <col min="6" max="6" width="10.140625" style="32" customWidth="1"/>
    <col min="7" max="7" width="18.5703125" style="1" customWidth="1"/>
    <col min="8" max="8" width="35" style="1" customWidth="1"/>
    <col min="9" max="16384" width="27.85546875" style="1"/>
  </cols>
  <sheetData>
    <row r="1" spans="1:8" s="14" customFormat="1" x14ac:dyDescent="0.25">
      <c r="A1" s="7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13"/>
    </row>
    <row r="2" spans="1:8" s="22" customFormat="1" x14ac:dyDescent="0.25">
      <c r="A2" s="15"/>
      <c r="B2" s="16" t="s">
        <v>6</v>
      </c>
      <c r="C2" s="17" t="s">
        <v>6</v>
      </c>
      <c r="D2" s="18" t="s">
        <v>6</v>
      </c>
      <c r="E2" s="19" t="s">
        <v>6</v>
      </c>
      <c r="F2" s="20"/>
      <c r="G2" s="21"/>
    </row>
    <row r="3" spans="1:8" x14ac:dyDescent="0.25">
      <c r="A3" s="23">
        <v>45610</v>
      </c>
      <c r="B3" s="24">
        <v>158.6</v>
      </c>
      <c r="C3" s="25"/>
      <c r="D3" s="26">
        <v>9731</v>
      </c>
      <c r="E3" s="25"/>
      <c r="F3" s="27"/>
      <c r="G3" s="28"/>
    </row>
    <row r="4" spans="1:8" x14ac:dyDescent="0.25">
      <c r="A4" s="23">
        <v>45613</v>
      </c>
      <c r="B4" s="24">
        <v>232.65</v>
      </c>
      <c r="C4" s="25">
        <f t="shared" ref="C4:C15" si="0">B4-B3</f>
        <v>74.050000000000011</v>
      </c>
      <c r="D4" s="26">
        <v>9977</v>
      </c>
      <c r="E4" s="25">
        <f t="shared" ref="E4:E15" si="1">D4-D3</f>
        <v>246</v>
      </c>
      <c r="F4" s="27">
        <f t="shared" ref="F4:F15" si="2">E4/C4</f>
        <v>3.3220796758946651</v>
      </c>
      <c r="G4" s="28" t="s">
        <v>7</v>
      </c>
    </row>
    <row r="5" spans="1:8" x14ac:dyDescent="0.25">
      <c r="A5" s="23">
        <v>45615</v>
      </c>
      <c r="B5" s="24">
        <v>306.70999999999998</v>
      </c>
      <c r="C5" s="25">
        <f t="shared" si="0"/>
        <v>74.059999999999974</v>
      </c>
      <c r="D5" s="26">
        <v>10233</v>
      </c>
      <c r="E5" s="25">
        <f t="shared" si="1"/>
        <v>256</v>
      </c>
      <c r="F5" s="27">
        <f t="shared" si="2"/>
        <v>3.4566567647853104</v>
      </c>
      <c r="G5" s="28"/>
    </row>
    <row r="6" spans="1:8" x14ac:dyDescent="0.25">
      <c r="A6" s="23">
        <v>45623</v>
      </c>
      <c r="B6" s="24">
        <v>508.07</v>
      </c>
      <c r="C6" s="25">
        <f t="shared" si="0"/>
        <v>201.36</v>
      </c>
      <c r="D6" s="26">
        <v>10950</v>
      </c>
      <c r="E6" s="25">
        <f t="shared" si="1"/>
        <v>717</v>
      </c>
      <c r="F6" s="27">
        <f t="shared" si="2"/>
        <v>3.5607866507747317</v>
      </c>
      <c r="G6" s="28" t="s">
        <v>8</v>
      </c>
      <c r="H6" s="1" t="s">
        <v>9</v>
      </c>
    </row>
    <row r="7" spans="1:8" x14ac:dyDescent="0.25">
      <c r="A7" s="23">
        <v>45627</v>
      </c>
      <c r="B7" s="24">
        <v>578.99</v>
      </c>
      <c r="C7" s="25">
        <f t="shared" si="0"/>
        <v>70.920000000000016</v>
      </c>
      <c r="D7" s="26">
        <v>11245</v>
      </c>
      <c r="E7" s="25">
        <f t="shared" si="1"/>
        <v>295</v>
      </c>
      <c r="F7" s="27">
        <f t="shared" si="2"/>
        <v>4.1596164692611381</v>
      </c>
      <c r="G7" s="28"/>
      <c r="H7" s="1" t="s">
        <v>10</v>
      </c>
    </row>
    <row r="8" spans="1:8" x14ac:dyDescent="0.25">
      <c r="A8" s="23">
        <v>45636</v>
      </c>
      <c r="B8" s="24">
        <v>824</v>
      </c>
      <c r="C8" s="25">
        <f t="shared" si="0"/>
        <v>245.01</v>
      </c>
      <c r="D8" s="26">
        <v>12144</v>
      </c>
      <c r="E8" s="25">
        <f t="shared" si="1"/>
        <v>899</v>
      </c>
      <c r="F8" s="27">
        <f t="shared" si="2"/>
        <v>3.6692379902861108</v>
      </c>
      <c r="G8" s="28"/>
    </row>
    <row r="9" spans="1:8" x14ac:dyDescent="0.25">
      <c r="A9" s="23">
        <v>45644</v>
      </c>
      <c r="B9" s="24">
        <v>1020</v>
      </c>
      <c r="C9" s="25">
        <f t="shared" si="0"/>
        <v>196</v>
      </c>
      <c r="D9" s="26">
        <v>12862</v>
      </c>
      <c r="E9" s="25">
        <f t="shared" si="1"/>
        <v>718</v>
      </c>
      <c r="F9" s="27">
        <f t="shared" si="2"/>
        <v>3.6632653061224492</v>
      </c>
      <c r="G9" s="28"/>
    </row>
    <row r="10" spans="1:8" x14ac:dyDescent="0.25">
      <c r="A10" s="23">
        <v>45647</v>
      </c>
      <c r="B10" s="24">
        <v>1105</v>
      </c>
      <c r="C10" s="25">
        <f t="shared" si="0"/>
        <v>85</v>
      </c>
      <c r="D10" s="26">
        <v>13160</v>
      </c>
      <c r="E10" s="25">
        <f t="shared" si="1"/>
        <v>298</v>
      </c>
      <c r="F10" s="27">
        <f t="shared" si="2"/>
        <v>3.5058823529411764</v>
      </c>
      <c r="G10" s="28"/>
    </row>
    <row r="11" spans="1:8" x14ac:dyDescent="0.25">
      <c r="A11" s="23">
        <v>45651</v>
      </c>
      <c r="B11" s="24">
        <v>1190</v>
      </c>
      <c r="C11" s="25">
        <f t="shared" si="0"/>
        <v>85</v>
      </c>
      <c r="D11" s="26">
        <v>13498</v>
      </c>
      <c r="E11" s="25">
        <f t="shared" si="1"/>
        <v>338</v>
      </c>
      <c r="F11" s="27">
        <f t="shared" si="2"/>
        <v>3.9764705882352942</v>
      </c>
      <c r="G11" s="28"/>
      <c r="H11" s="1" t="s">
        <v>11</v>
      </c>
    </row>
    <row r="12" spans="1:8" x14ac:dyDescent="0.25">
      <c r="A12" s="23">
        <v>45653</v>
      </c>
      <c r="B12" s="24">
        <v>1236</v>
      </c>
      <c r="C12" s="25">
        <f t="shared" si="0"/>
        <v>46</v>
      </c>
      <c r="D12" s="26">
        <v>13705</v>
      </c>
      <c r="E12" s="25">
        <f t="shared" si="1"/>
        <v>207</v>
      </c>
      <c r="F12" s="27">
        <f t="shared" si="2"/>
        <v>4.5</v>
      </c>
      <c r="G12" s="28"/>
    </row>
    <row r="13" spans="1:8" x14ac:dyDescent="0.25">
      <c r="A13" s="23">
        <v>45657</v>
      </c>
      <c r="B13" s="24">
        <v>1316</v>
      </c>
      <c r="C13" s="25">
        <f t="shared" si="0"/>
        <v>80</v>
      </c>
      <c r="D13" s="26">
        <v>14027</v>
      </c>
      <c r="E13" s="25">
        <f t="shared" si="1"/>
        <v>322</v>
      </c>
      <c r="F13" s="27">
        <f t="shared" si="2"/>
        <v>4.0250000000000004</v>
      </c>
      <c r="G13" s="28"/>
    </row>
    <row r="14" spans="1:8" x14ac:dyDescent="0.25">
      <c r="A14" s="23">
        <v>45673</v>
      </c>
      <c r="B14" s="24">
        <v>1710</v>
      </c>
      <c r="C14" s="25">
        <f t="shared" si="0"/>
        <v>394</v>
      </c>
      <c r="D14" s="26">
        <v>15561</v>
      </c>
      <c r="E14" s="25">
        <f t="shared" si="1"/>
        <v>1534</v>
      </c>
      <c r="F14" s="27">
        <f t="shared" si="2"/>
        <v>3.8934010152284264</v>
      </c>
      <c r="G14" s="28"/>
    </row>
    <row r="15" spans="1:8" x14ac:dyDescent="0.25">
      <c r="A15" s="23">
        <v>45661</v>
      </c>
      <c r="B15" s="24">
        <v>2131</v>
      </c>
      <c r="C15" s="25">
        <f t="shared" si="0"/>
        <v>421</v>
      </c>
      <c r="D15" s="26">
        <v>17851</v>
      </c>
      <c r="E15" s="25">
        <f t="shared" si="1"/>
        <v>2290</v>
      </c>
      <c r="F15" s="27">
        <f t="shared" si="2"/>
        <v>5.4394299287410925</v>
      </c>
      <c r="G15" s="28"/>
    </row>
    <row r="16" spans="1:8" x14ac:dyDescent="0.25">
      <c r="A16" s="23"/>
      <c r="B16" s="24"/>
      <c r="C16" s="25"/>
      <c r="D16" s="26"/>
      <c r="E16" s="25"/>
      <c r="F16" s="27"/>
      <c r="G16" s="28"/>
    </row>
    <row r="17" spans="1:7" x14ac:dyDescent="0.25">
      <c r="D17" s="31"/>
      <c r="E17" s="30"/>
    </row>
    <row r="18" spans="1:7" s="36" customFormat="1" x14ac:dyDescent="0.25">
      <c r="A18" s="33" t="s">
        <v>12</v>
      </c>
      <c r="B18" s="34"/>
      <c r="C18" s="34"/>
      <c r="D18" s="34"/>
      <c r="E18" s="34"/>
      <c r="F18" s="35"/>
    </row>
    <row r="19" spans="1:7" s="39" customFormat="1" x14ac:dyDescent="0.25">
      <c r="A19" s="37"/>
      <c r="B19" s="38" t="s">
        <v>13</v>
      </c>
      <c r="C19" s="38" t="s">
        <v>14</v>
      </c>
      <c r="D19" s="39" t="s">
        <v>33</v>
      </c>
      <c r="E19" s="38" t="s">
        <v>15</v>
      </c>
      <c r="F19" s="38" t="s">
        <v>16</v>
      </c>
      <c r="G19" s="40" t="s">
        <v>5</v>
      </c>
    </row>
    <row r="20" spans="1:7" s="44" customFormat="1" x14ac:dyDescent="0.25">
      <c r="A20" s="41"/>
      <c r="B20" s="42" t="s">
        <v>17</v>
      </c>
      <c r="C20" s="42" t="s">
        <v>17</v>
      </c>
      <c r="D20" s="42" t="s">
        <v>17</v>
      </c>
      <c r="E20" s="42" t="s">
        <v>18</v>
      </c>
      <c r="F20" s="42" t="s">
        <v>18</v>
      </c>
      <c r="G20" s="43"/>
    </row>
    <row r="21" spans="1:7" x14ac:dyDescent="0.25">
      <c r="A21" s="29" t="s">
        <v>19</v>
      </c>
      <c r="B21" s="45">
        <v>26.2</v>
      </c>
      <c r="C21" s="32">
        <v>31.7</v>
      </c>
      <c r="D21" s="32">
        <v>2.7</v>
      </c>
      <c r="E21" s="30">
        <v>2.08</v>
      </c>
      <c r="F21" s="30">
        <v>12</v>
      </c>
      <c r="G21" s="32">
        <f>F21/E21</f>
        <v>5.7692307692307692</v>
      </c>
    </row>
    <row r="22" spans="1:7" x14ac:dyDescent="0.25">
      <c r="B22" s="32">
        <v>31.4</v>
      </c>
      <c r="C22" s="32"/>
      <c r="D22" s="32"/>
      <c r="E22" s="30">
        <v>2.25</v>
      </c>
      <c r="F22" s="30">
        <v>11.3</v>
      </c>
      <c r="G22" s="32">
        <f>F22/E22</f>
        <v>5.0222222222222221</v>
      </c>
    </row>
    <row r="23" spans="1:7" x14ac:dyDescent="0.25">
      <c r="B23" s="32"/>
      <c r="C23" s="32"/>
      <c r="D23" s="32"/>
      <c r="E23" s="30">
        <v>2.14</v>
      </c>
      <c r="F23" s="30">
        <v>11.3</v>
      </c>
      <c r="G23" s="32">
        <f>F23/E23</f>
        <v>5.2803738317757007</v>
      </c>
    </row>
    <row r="24" spans="1:7" x14ac:dyDescent="0.25">
      <c r="B24" s="32"/>
      <c r="C24" s="32"/>
      <c r="D24" s="32"/>
      <c r="E24" s="46">
        <v>2.3199999999999998</v>
      </c>
      <c r="F24" s="46">
        <v>11.8</v>
      </c>
      <c r="G24" s="32">
        <f>F24/E24</f>
        <v>5.0862068965517251</v>
      </c>
    </row>
    <row r="25" spans="1:7" x14ac:dyDescent="0.25">
      <c r="B25" s="45" t="s">
        <v>20</v>
      </c>
      <c r="C25" s="32"/>
      <c r="D25" s="32"/>
      <c r="E25" s="30">
        <v>2.4500000000000002</v>
      </c>
      <c r="F25" s="30">
        <v>11.6</v>
      </c>
      <c r="G25" s="32">
        <f>F25/E25</f>
        <v>4.7346938775510203</v>
      </c>
    </row>
    <row r="26" spans="1:7" x14ac:dyDescent="0.25">
      <c r="B26" s="32"/>
      <c r="C26" s="32"/>
      <c r="D26" s="32"/>
      <c r="E26" s="30">
        <v>2.76</v>
      </c>
      <c r="F26" s="30">
        <v>10.3</v>
      </c>
      <c r="G26" s="32">
        <f>F26/E26</f>
        <v>3.7318840579710151</v>
      </c>
    </row>
    <row r="27" spans="1:7" x14ac:dyDescent="0.25">
      <c r="B27" s="32"/>
      <c r="C27" s="32"/>
      <c r="D27" s="32"/>
      <c r="E27" s="30"/>
      <c r="F27" s="30"/>
      <c r="G27" s="32"/>
    </row>
    <row r="28" spans="1:7" x14ac:dyDescent="0.25">
      <c r="A28" s="29" t="s">
        <v>21</v>
      </c>
      <c r="B28" s="32"/>
      <c r="C28" s="32"/>
      <c r="D28" s="32"/>
      <c r="E28" s="30">
        <v>3.4</v>
      </c>
      <c r="F28" s="30">
        <v>9.6</v>
      </c>
      <c r="G28" s="32">
        <f>F28/E28</f>
        <v>2.8235294117647061</v>
      </c>
    </row>
    <row r="29" spans="1:7" x14ac:dyDescent="0.25">
      <c r="B29" s="32"/>
      <c r="C29" s="32"/>
      <c r="D29" s="32"/>
      <c r="E29" s="30">
        <v>2.97</v>
      </c>
      <c r="F29" s="30">
        <v>10.5</v>
      </c>
      <c r="G29" s="32">
        <f>F29/E29</f>
        <v>3.535353535353535</v>
      </c>
    </row>
    <row r="30" spans="1:7" x14ac:dyDescent="0.25">
      <c r="B30" s="30">
        <v>48.7</v>
      </c>
      <c r="C30" s="30">
        <v>53.8</v>
      </c>
      <c r="D30" s="30">
        <v>3.7</v>
      </c>
      <c r="E30" s="46">
        <v>3.2</v>
      </c>
      <c r="F30" s="46">
        <v>10.4</v>
      </c>
      <c r="G30" s="47">
        <f>F30/E30</f>
        <v>3.25</v>
      </c>
    </row>
    <row r="31" spans="1:7" x14ac:dyDescent="0.25">
      <c r="B31" s="32">
        <v>51</v>
      </c>
      <c r="C31" s="32">
        <v>56</v>
      </c>
      <c r="D31" s="32">
        <v>3.9</v>
      </c>
      <c r="E31" s="30">
        <v>3.3</v>
      </c>
      <c r="F31" s="30">
        <v>10.220000000000001</v>
      </c>
      <c r="G31" s="32">
        <f>F31/E31</f>
        <v>3.0969696969696972</v>
      </c>
    </row>
    <row r="32" spans="1:7" x14ac:dyDescent="0.25">
      <c r="B32" s="32"/>
      <c r="C32" s="32"/>
      <c r="D32" s="32"/>
      <c r="E32" s="30"/>
    </row>
    <row r="33" spans="2:5" x14ac:dyDescent="0.25">
      <c r="B33" s="32"/>
      <c r="C33" s="32"/>
      <c r="D33" s="32"/>
      <c r="E33" s="30"/>
    </row>
    <row r="34" spans="2:5" x14ac:dyDescent="0.25">
      <c r="B34" s="32"/>
      <c r="C34" s="32"/>
      <c r="D34" s="32"/>
      <c r="E34" s="30"/>
    </row>
    <row r="35" spans="2:5" x14ac:dyDescent="0.25">
      <c r="B35" s="32"/>
      <c r="C35" s="32"/>
      <c r="D35" s="32"/>
      <c r="E35" s="30"/>
    </row>
    <row r="36" spans="2:5" x14ac:dyDescent="0.25">
      <c r="D36" s="30"/>
      <c r="E36" s="30"/>
    </row>
  </sheetData>
  <pageMargins left="0.25" right="0.25" top="0.75" bottom="0.75" header="0.511811023622047" footer="0.3"/>
  <pageSetup paperSize="9" orientation="landscape" horizontalDpi="300" verticalDpi="300" r:id="rId1"/>
  <headerFooter>
    <oddFooter>&amp;L&amp;Z&amp;F&amp;R&amp;D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6"/>
  <sheetViews>
    <sheetView zoomScale="130" zoomScaleNormal="130" workbookViewId="0">
      <selection activeCell="I10" sqref="I10"/>
    </sheetView>
  </sheetViews>
  <sheetFormatPr baseColWidth="10" defaultColWidth="10.5703125" defaultRowHeight="15.75" x14ac:dyDescent="0.25"/>
  <cols>
    <col min="1" max="1" width="22.42578125" style="1" customWidth="1"/>
    <col min="2" max="2" width="6.140625" style="1" customWidth="1"/>
    <col min="3" max="3" width="20.28515625" style="2" customWidth="1"/>
    <col min="4" max="4" width="17.28515625" style="2" customWidth="1"/>
    <col min="5" max="5" width="10.5703125" style="2"/>
    <col min="6" max="6" width="17" style="2" customWidth="1"/>
    <col min="7" max="7" width="10.5703125" style="2"/>
    <col min="8" max="8" width="11.7109375" style="2" customWidth="1"/>
    <col min="9" max="1024" width="10.5703125" style="1"/>
  </cols>
  <sheetData>
    <row r="1" spans="1:8" s="3" customFormat="1" ht="29.25" customHeight="1" x14ac:dyDescent="0.25">
      <c r="A1" s="3" t="s">
        <v>0</v>
      </c>
      <c r="B1" s="3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/>
      <c r="H1" s="4" t="s">
        <v>27</v>
      </c>
    </row>
    <row r="2" spans="1:8" x14ac:dyDescent="0.25">
      <c r="A2" s="1" t="s">
        <v>28</v>
      </c>
      <c r="B2" s="1">
        <v>13</v>
      </c>
      <c r="C2" s="2">
        <v>1155</v>
      </c>
      <c r="D2" s="2">
        <v>316</v>
      </c>
      <c r="E2" s="2">
        <v>166</v>
      </c>
      <c r="F2" s="2">
        <v>674</v>
      </c>
      <c r="H2" s="2">
        <f>C2/B2</f>
        <v>88.84615384615384</v>
      </c>
    </row>
    <row r="3" spans="1:8" x14ac:dyDescent="0.25">
      <c r="A3" s="1" t="s">
        <v>29</v>
      </c>
      <c r="B3" s="1">
        <v>8</v>
      </c>
      <c r="C3" s="2">
        <v>341</v>
      </c>
      <c r="D3" s="2">
        <v>196</v>
      </c>
      <c r="E3" s="2">
        <v>94</v>
      </c>
      <c r="F3" s="2">
        <f>C3-D3-E3</f>
        <v>51</v>
      </c>
      <c r="H3" s="2">
        <f>C3/B3</f>
        <v>42.625</v>
      </c>
    </row>
    <row r="4" spans="1:8" x14ac:dyDescent="0.25">
      <c r="A4" s="5" t="s">
        <v>30</v>
      </c>
      <c r="B4" s="1">
        <v>7</v>
      </c>
      <c r="C4" s="1">
        <v>422</v>
      </c>
      <c r="D4" s="6">
        <v>170</v>
      </c>
      <c r="E4" s="2">
        <v>108</v>
      </c>
      <c r="F4" s="2">
        <f>C4-D4-E4</f>
        <v>144</v>
      </c>
      <c r="H4" s="2">
        <f>C4/B4</f>
        <v>60.285714285714285</v>
      </c>
    </row>
    <row r="5" spans="1:8" x14ac:dyDescent="0.25">
      <c r="A5" s="5" t="s">
        <v>31</v>
      </c>
      <c r="B5" s="1">
        <v>8</v>
      </c>
      <c r="C5" s="2">
        <v>55</v>
      </c>
      <c r="D5" s="2">
        <v>46</v>
      </c>
      <c r="E5" s="2">
        <v>10</v>
      </c>
      <c r="F5" s="2">
        <f>C5-D5-E5</f>
        <v>-1</v>
      </c>
      <c r="H5" s="2">
        <f>C5/B5</f>
        <v>6.875</v>
      </c>
    </row>
    <row r="6" spans="1:8" x14ac:dyDescent="0.25">
      <c r="A6" s="5" t="s">
        <v>32</v>
      </c>
      <c r="B6" s="1">
        <v>9</v>
      </c>
      <c r="C6" s="2">
        <v>88</v>
      </c>
      <c r="D6" s="2">
        <v>80</v>
      </c>
      <c r="E6" s="2">
        <v>38</v>
      </c>
      <c r="F6" s="2">
        <f>C6-D6-E6</f>
        <v>-30</v>
      </c>
      <c r="H6" s="2">
        <f>C6/B6</f>
        <v>9.7777777777777786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zoomScale="160" zoomScaleNormal="160" workbookViewId="0">
      <selection activeCell="A9" sqref="A9"/>
    </sheetView>
  </sheetViews>
  <sheetFormatPr baseColWidth="10" defaultColWidth="9.140625" defaultRowHeight="15" x14ac:dyDescent="0.25"/>
  <sheetData>
    <row r="1" spans="1:1" x14ac:dyDescent="0.25">
      <c r="A1">
        <v>9.9</v>
      </c>
    </row>
    <row r="2" spans="1:1" x14ac:dyDescent="0.25">
      <c r="A2">
        <v>10</v>
      </c>
    </row>
    <row r="3" spans="1:1" x14ac:dyDescent="0.25">
      <c r="A3">
        <v>12.9</v>
      </c>
    </row>
    <row r="4" spans="1:1" x14ac:dyDescent="0.25">
      <c r="A4">
        <v>28</v>
      </c>
    </row>
    <row r="5" spans="1:1" x14ac:dyDescent="0.25">
      <c r="A5">
        <v>19.3</v>
      </c>
    </row>
    <row r="6" spans="1:1" x14ac:dyDescent="0.25">
      <c r="A6">
        <v>0</v>
      </c>
    </row>
    <row r="7" spans="1:1" x14ac:dyDescent="0.25">
      <c r="A7">
        <v>26.9</v>
      </c>
    </row>
    <row r="8" spans="1:1" x14ac:dyDescent="0.25">
      <c r="A8">
        <v>1</v>
      </c>
    </row>
    <row r="9" spans="1:1" x14ac:dyDescent="0.25">
      <c r="A9">
        <f>SUM(A1:A8)</f>
        <v>108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Wärmepumpe</vt:lpstr>
      <vt:lpstr>Übersicht Dez. 2024</vt:lpstr>
      <vt:lpstr>Tabelle3</vt:lpstr>
      <vt:lpstr>Wärmepumpe!Druckbereich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Viktor Rees</dc:creator>
  <dc:description/>
  <cp:lastModifiedBy>Viktor Rees</cp:lastModifiedBy>
  <cp:revision>9</cp:revision>
  <cp:lastPrinted>2025-02-07T10:20:24Z</cp:lastPrinted>
  <dcterms:created xsi:type="dcterms:W3CDTF">2024-11-14T18:27:32Z</dcterms:created>
  <dcterms:modified xsi:type="dcterms:W3CDTF">2025-02-07T10:24:39Z</dcterms:modified>
  <dc:language>de-DE</dc:language>
</cp:coreProperties>
</file>